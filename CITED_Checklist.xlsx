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vikbal/Downloads/"/>
    </mc:Choice>
  </mc:AlternateContent>
  <xr:revisionPtr revIDLastSave="0" documentId="13_ncr:1_{D5DFCEA7-4BF5-FA4F-8A98-05FB3854F92F}" xr6:coauthVersionLast="47" xr6:coauthVersionMax="47" xr10:uidLastSave="{00000000-0000-0000-0000-000000000000}"/>
  <bookViews>
    <workbookView xWindow="0" yWindow="680" windowWidth="29400" windowHeight="16840" tabRatio="500" activeTab="2" xr2:uid="{00000000-000D-0000-FFFF-FFFF00000000}"/>
  </bookViews>
  <sheets>
    <sheet name="How to use" sheetId="1" r:id="rId1"/>
    <sheet name="Checklist" sheetId="2" r:id="rId2"/>
    <sheet name="Dashboar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 i="3" l="1"/>
  <c r="B16" i="3"/>
  <c r="D16" i="3" s="1"/>
  <c r="C15" i="3"/>
  <c r="B15" i="3"/>
  <c r="D15" i="3" s="1"/>
  <c r="C14" i="3"/>
  <c r="B14" i="3"/>
  <c r="D14" i="3" s="1"/>
  <c r="C13" i="3"/>
  <c r="B13" i="3"/>
  <c r="D13" i="3" s="1"/>
  <c r="C12" i="3"/>
  <c r="B12" i="3"/>
  <c r="D12" i="3" s="1"/>
  <c r="B8" i="3"/>
  <c r="B6" i="3"/>
  <c r="B5" i="3"/>
  <c r="B7" i="3" s="1"/>
  <c r="B9" i="3" s="1"/>
</calcChain>
</file>

<file path=xl/sharedStrings.xml><?xml version="1.0" encoding="utf-8"?>
<sst xmlns="http://schemas.openxmlformats.org/spreadsheetml/2006/main" count="249" uniqueCount="201">
  <si>
    <t>CITED Master Checklist</t>
  </si>
  <si>
    <t>Companion to the book CITED: The Growth Operating System for the Age of AI Search, by Avik Bal.</t>
  </si>
  <si>
    <t>How to use this workbook</t>
  </si>
  <si>
    <t>1. Go to the Checklist tab. Read each check, its reason, the how-to steps, and the tools.</t>
  </si>
  <si>
    <t>2. Set Status for each row: Not started, In progress, or Done. Use the dropdown.</t>
  </si>
  <si>
    <t>3. The Notes column starts with the done-when test. Replace it with your own notes as you work.</t>
  </si>
  <si>
    <t>4. The Dashboard tab scores you live, overall and by layer, and names your maturity band.</t>
  </si>
  <si>
    <t>The order matters</t>
  </si>
  <si>
    <t>Work top to bottom, C to D. It is a dependency. A page a bot cannot read cannot be cited, so if</t>
  </si>
  <si>
    <t>Technical Foundation is weak, fix it first, whatever your overall score. Your weakest layer caps the system.</t>
  </si>
  <si>
    <t>Maturity bands</t>
  </si>
  <si>
    <t>0-20% Absent   21-45% Reactive   46-70% Present   71-90% Cited   91-100% Compounding</t>
  </si>
  <si>
    <t>Re-score every quarter. AI engines, crawler names, and citation patterns change fast.</t>
  </si>
  <si>
    <t>Layer</t>
  </si>
  <si>
    <t>#</t>
  </si>
  <si>
    <t>Check</t>
  </si>
  <si>
    <t>Why it matters</t>
  </si>
  <si>
    <t>How to</t>
  </si>
  <si>
    <t>Tools</t>
  </si>
  <si>
    <t>Status</t>
  </si>
  <si>
    <t>Notes</t>
  </si>
  <si>
    <t>C</t>
  </si>
  <si>
    <t>C1</t>
  </si>
  <si>
    <t>A written map of your top buyer questions across the surfaces they search.</t>
  </si>
  <si>
    <t>Engines answer questions. You cannot earn a citation for a question you have not written down.</t>
  </si>
  <si>
    <t>1. List 20-50 buyer questions, first problem to final decision.
2. Tag each by buying stage.
3. Note where each is asked: Google, ChatGPT, Perplexity, Reddit, YouTube.
4. Run each in each engine, record who is cited.
5. Keep it as a living sheet.</t>
  </si>
  <si>
    <t>Google Sheets; the AI engines directly; AlsoAsked; Ahrefs or Semrush.</t>
  </si>
  <si>
    <t>Not started</t>
  </si>
  <si>
    <t>A sheet lists your questions, stages, surfaces, and who is cited now.</t>
  </si>
  <si>
    <t>C2</t>
  </si>
  <si>
    <t>A citation audit showing where you appear, partially appear, and are absent.</t>
  </si>
  <si>
    <t>You manage what you measure. A baseline shows where you win and where you are invisible.</t>
  </si>
  <si>
    <t>1. Take the C1 question list.
2. Run each across your target engines.
3. Mark cited-with-link, mentioned-only, or absent.
4. Record competitors cited instead.
5. Compute citation rate per engine and stage.</t>
  </si>
  <si>
    <t>Profound, Otterly.ai, Peec AI, or Ahrefs Brand Radar; manual runs for a free start.</t>
  </si>
  <si>
    <t>A scored baseline of appear, partial, and absent per question and engine.</t>
  </si>
  <si>
    <t>C3</t>
  </si>
  <si>
    <t>One corrected third-party source, starting with the most-cited.</t>
  </si>
  <si>
    <t>Engines corroborate across sources. A wrong third-party fact spreads into answers.</t>
  </si>
  <si>
    <t>1. List third-party pages engines pull from.
2. Rank by how often they are cited.
3. Find the correction path for the top one.
4. Submit accurate, sourced info.
5. Re-check after it updates.</t>
  </si>
  <si>
    <t>Wikipedia and Wikidata edits; G2 or Capterra claim flows; HARO or Connectively.</t>
  </si>
  <si>
    <t>At least one high-reach third-party source now describes you correctly.</t>
  </si>
  <si>
    <t>C4</t>
  </si>
  <si>
    <t>One original data asset published and pitched.</t>
  </si>
  <si>
    <t>Earned media draws far more AI citations than owned pages. Original data manufactures it.</t>
  </si>
  <si>
    <t>1. Pick a question only your data can answer.
2. Run the study or pull the numbers.
3. Publish with a clear methodology and charts.
4. Write a short, factual pitch.
5. Send to five relevant outlets.</t>
  </si>
  <si>
    <t>Typeform or Google Forms; Datawrapper or Flourish; HARO; a media list.</t>
  </si>
  <si>
    <t>One data asset is live with a methodology and pitched to five outlets.</t>
  </si>
  <si>
    <t>C5</t>
  </si>
  <si>
    <t>A consistent entity: correct Wikidata, aligned directories, matching name and details.</t>
  </si>
  <si>
    <t>Engines resolve you to an entity. Conflicting details make you look fuzzy and lower trust.</t>
  </si>
  <si>
    <t>1. Write your canonical facts.
2. Create or correct your Wikidata item.
3. Align every directory and profile.
4. Add sameAs links in Organization schema.
5. Set a quarterly check.</t>
  </si>
  <si>
    <t>Wikidata; Google Business Profile; LinkedIn; Crunchbase; Organization schema.</t>
  </si>
  <si>
    <t>Name, category, and key facts match across Wikidata, directories, and schema.</t>
  </si>
  <si>
    <t>C6</t>
  </si>
  <si>
    <t>For local brands, a complete profile and weekly review flow per location.</t>
  </si>
  <si>
    <t>Local answers weigh profile completeness and recent reviews. Each location competes on its own.</t>
  </si>
  <si>
    <t>1. Claim and complete each location's Google Business Profile.
2. Fill every field: hours, categories, services, photos.
3. Set a weekly review request to happy customers.
4. Reply to every review.
5. Keep NAP identical everywhere.</t>
  </si>
  <si>
    <t>Google Business Profile; Bing Places; Birdeye or Grade.us; a NAP tracker.</t>
  </si>
  <si>
    <t>Every location has a complete profile and a running weekly review request.</t>
  </si>
  <si>
    <t>I</t>
  </si>
  <si>
    <t>I1</t>
  </si>
  <si>
    <t>One bounded subject chosen to own, placed on the breadth-by-depth matrix.</t>
  </si>
  <si>
    <t>Engines treat depth as authority. Owning everything wins nothing.</t>
  </si>
  <si>
    <t>1. List candidate subjects tied to product and buyers.
2. Plot each on breadth against depth.
3. Choose one you can be deep and specific on.
4. Write the subject boundary in one sentence.
5. Make it the home of your next cluster.</t>
  </si>
  <si>
    <t>Ahrefs or Semrush; a spreadsheet or the breadth-by-depth matrix; ChatGPT.</t>
  </si>
  <si>
    <t>One subject is chosen and its boundary is written in a sentence.</t>
  </si>
  <si>
    <t>I2</t>
  </si>
  <si>
    <t>A drawn hub-and-spoke map with one pillar linking to every subtopic.</t>
  </si>
  <si>
    <t>A pillar plus focused subpages signals you own the whole subject and gives clean passages.</t>
  </si>
  <si>
    <t>1. Draft the pillar covering the whole subject.
2. List every subtopic as a spoke.
3. Draw pillar to each spoke and back.
4. Give each spoke one question to answer.
5. Fill gaps and cut overlaps.</t>
  </si>
  <si>
    <t>Whimsical, Miro, or draw.io; Ahrefs or Semrush; InLinks.</t>
  </si>
  <si>
    <t>A drawn map shows one pillar linking to every subtopic and back.</t>
  </si>
  <si>
    <t>I3</t>
  </si>
  <si>
    <t>Two-way internal links across the cluster with descriptive anchors.</t>
  </si>
  <si>
    <t>Internal links carry meaning. Descriptive anchors tell engines what the target is about.</t>
  </si>
  <si>
    <t>1. Crawl the cluster.
2. Link pillar to spokes and spokes to pillar.
3. Link related spokes where it helps.
4. Write anchors that describe the target.
5. Re-crawl to confirm.</t>
  </si>
  <si>
    <t>Screaming Frog or Sitebulb; InLinks; your CMS.</t>
  </si>
  <si>
    <t>Every cluster page links both ways with descriptive anchor text.</t>
  </si>
  <si>
    <t>I4</t>
  </si>
  <si>
    <t>No two pages competing for the same subtopic.</t>
  </si>
  <si>
    <t>Duplicate targets split signals and confuse retrieval. One page per subtopic wins.</t>
  </si>
  <si>
    <t>1. List pages by target subtopic.
2. Find overlaps chasing the same query.
3. Merge, redirect, or re-focus the weaker page.
4. Update internal links.
5. Recheck rankings and impressions.</t>
  </si>
  <si>
    <t>Ahrefs or Semrush cannibalization view; Google Search Console; Screaming Frog.</t>
  </si>
  <si>
    <t>Each subtopic has one clear page, with cannibalization resolved.</t>
  </si>
  <si>
    <t>I5</t>
  </si>
  <si>
    <t>A publishing cadence and a refresh schedule, both written down and protected.</t>
  </si>
  <si>
    <t>Freshness is a real signal and depth needs steady output. A written cadence survives busy weeks.</t>
  </si>
  <si>
    <t>1. Set a publishing rhythm you can hold.
2. Set a refresh schedule for key pages.
3. Put both on a calendar with owners.
4. Protect the time.
5. Track what shipped against the plan.</t>
  </si>
  <si>
    <t>Notion, Airtable, Trello, or Asana; Google Search Console for decay.</t>
  </si>
  <si>
    <t>A written cadence and refresh schedule exist, with owners and dates.</t>
  </si>
  <si>
    <t>T</t>
  </si>
  <si>
    <t>T1</t>
  </si>
  <si>
    <t>Confirmed access for the major AI crawlers, checked on a schedule.</t>
  </si>
  <si>
    <t>If retrieval crawlers cannot fetch your pages, you drop out of AI answers whatever your ranking.</t>
  </si>
  <si>
    <t>1. Separate retrieval bots from training bots.
2. Check robots.txt does not block retrieval bots.
3. Confirm the CDN or firewall is not blocking them.
4. Test with a user-agent fetch.
5. Add a scheduled recheck.</t>
  </si>
  <si>
    <t>robots.txt (see templates); Cloudflare or Fastly logs; curl; No Hacks reference.</t>
  </si>
  <si>
    <t>Retrieval crawlers are allowed and verified, with a recheck scheduled.</t>
  </si>
  <si>
    <t>T2</t>
  </si>
  <si>
    <t>Key pages render their content without JavaScript.</t>
  </si>
  <si>
    <t>Most AI crawlers do not run JavaScript. Script-painted content is invisible to them.</t>
  </si>
  <si>
    <t>1. Pick priority pages.
2. Load each with JavaScript disabled or fetch raw HTML.
3. Confirm content, headings, and links are in the HTML.
4. Move to server-side rendering if missing.
5. Re-test.</t>
  </si>
  <si>
    <t>Chrome DevTools; GSC URL Inspection; Screaming Frog; curl.</t>
  </si>
  <si>
    <t>Priority pages ship their main content as HTML.</t>
  </si>
  <si>
    <t>T3</t>
  </si>
  <si>
    <t>A current sitemap and no orphaned priority pages.</t>
  </si>
  <si>
    <t>A clean sitemap and internal links help crawlers find everything. Orphaned pages get missed.</t>
  </si>
  <si>
    <t>1. Generate or update the XML sitemap.
2. Submit it in Search Console.
3. Crawl to find orphaned pages.
4. Link them from relevant pages.
5. Remove dead or noindex URLs.</t>
  </si>
  <si>
    <t>Your CMS or a sitemap generator; Google Search Console; Screaming Frog or Sitebulb.</t>
  </si>
  <si>
    <t>The sitemap is current and every priority page has internal links in.</t>
  </si>
  <si>
    <t>T4</t>
  </si>
  <si>
    <t>Core Web Vitals measured, with the worst metric fixed.</t>
  </si>
  <si>
    <t>Speed protects arriving humans and gates retrieval eligibility. INP replaced FID in 2024.</t>
  </si>
  <si>
    <t>1. Pull field data for LCP, INP, and CLS.
2. Find the worst metric on key templates.
3. Fix the top cause.
4. Re-measure with real-user data.
5. Move to the next worst.</t>
  </si>
  <si>
    <t>PageSpeed Insights; CrUX; Search Console; Lighthouse; WebPageTest.</t>
  </si>
  <si>
    <t>Field data is tracked and the worst metric on key templates is fixed.</t>
  </si>
  <si>
    <t>T5</t>
  </si>
  <si>
    <t>Organization and Article schema in place, accurate, and matching visible content.</t>
  </si>
  <si>
    <t>Schema classifies content so machines parse and trust it. Mismatched schema can be ignored.</t>
  </si>
  <si>
    <t>1. Add Organization schema sitewide with sameAs.
2. Add Article schema to content pages.
3. Add Product or FAQ where they fit.
4. Validate the markup.
5. Confirm every claim matches the page.</t>
  </si>
  <si>
    <t>Schema.org; Rich Results Test; validator.schema.org; the templates in this repo.</t>
  </si>
  <si>
    <t>Organization and Article schema are live, valid, and matched to content.</t>
  </si>
  <si>
    <t>E</t>
  </si>
  <si>
    <t>E1</t>
  </si>
  <si>
    <t>Top pages open with a direct answer in the first two lines.</t>
  </si>
  <si>
    <t>Retrieval gets you into the pool. A clean, direct answer up top gets you quoted.</t>
  </si>
  <si>
    <t>1. Write the answer to the main question in the first two lines.
2. State it plainly, then support it.
3. Use a clear H1 and question-style H2s.
4. Keep the answer self-contained.
5. Cut the hedging.</t>
  </si>
  <si>
    <t>Your CMS; Perplexity or ChatGPT to test quoting; Frase or Surfer.</t>
  </si>
  <si>
    <t>Each key page answers its question in the first two lines.</t>
  </si>
  <si>
    <t>E2</t>
  </si>
  <si>
    <t>Vague claims replaced with specific, sourced numbers.</t>
  </si>
  <si>
    <t>Engines lift specific, attributable facts. Adding stats and sources raised visibility 30-41 percent (GEO, KDD 2024).</t>
  </si>
  <si>
    <t>1. Scan key pages for soft claims.
2. Replace each with a number and a date.
3. Put the source next to the number.
4. Prefer your own data.
5. Keep the source line visible.</t>
  </si>
  <si>
    <t>Your analytics and research; credible stat sources; a fact-check pass.</t>
  </si>
  <si>
    <t>Soft claims on key pages are replaced with sourced numbers.</t>
  </si>
  <si>
    <t>E3</t>
  </si>
  <si>
    <t>At least one credible quote on each key page.</t>
  </si>
  <si>
    <t>Pages with expert quotes average 4.1 citations against 2.4 without (SE Ranking via Foglift, 2026).</t>
  </si>
  <si>
    <t>1. Identify the expert view each page needs.
2. Get a quote from a named person.
3. Attribute it with name and role.
4. Place it next to the claim.
5. Keep it specific.</t>
  </si>
  <si>
    <t>Internal experts; customer interviews; HARO or Connectively; LinkedIn.</t>
  </si>
  <si>
    <t>Each key page carries at least one attributed, credible quote.</t>
  </si>
  <si>
    <t>E4</t>
  </si>
  <si>
    <t>Named authors with verifiable credentials and first-hand experience.</t>
  </si>
  <si>
    <t>As AI floods the web with unsourced text, proof of real experience is the scarce, trusted signal.</t>
  </si>
  <si>
    <t>1. Put a named author on each key page.
2. Add a bio with real credentials and links.
3. Add Author or Person schema.
4. Show first-hand evidence: data, results, real photos.
5. Keep details consistent with LinkedIn.</t>
  </si>
  <si>
    <t>Person and Author schema; author bio pages; LinkedIn; your CMS.</t>
  </si>
  <si>
    <t>Key pages show named authors with verifiable, linked credentials.</t>
  </si>
  <si>
    <t>E5</t>
  </si>
  <si>
    <t>A separate citation audit and one targeted move per engine your buyers use.</t>
  </si>
  <si>
    <t>Engines trust different sources; ChatGPT and Perplexity overlap on only about 11 percent of cited domains.</t>
  </si>
  <si>
    <t>1. Re-run buyer questions per engine and log citations.
2. Note each engine's source pattern.
3. Pick one move per engine that fits.
4. Ship the moves.
5. Re-audit and compare.</t>
  </si>
  <si>
    <t>Profound, Otterly.ai, or Peec AI; manual runs; the Four-Engine Playbook.</t>
  </si>
  <si>
    <t>A per-engine audit and one shipped move for each engine your buyers use.</t>
  </si>
  <si>
    <t>D</t>
  </si>
  <si>
    <t>D1</t>
  </si>
  <si>
    <t>AI traffic separated from direct, with conversion-by-channel reporting.</t>
  </si>
  <si>
    <t>You cannot value AI visibility while it hides inside direct. Separate it to see conversion.</t>
  </si>
  <si>
    <t>1. Build a custom channel for AI referrers.
2. Match referrer and UTM patterns per engine.
3. Report sessions and conversion.
4. Compare against organic and direct.
5. Watch the trend.</t>
  </si>
  <si>
    <t>GA4 custom channel group; Looker Studio; server logs.</t>
  </si>
  <si>
    <t>AI referral traffic is its own reported channel, with conversion.</t>
  </si>
  <si>
    <t>D2</t>
  </si>
  <si>
    <t>A clear next step on every AI landing page.</t>
  </si>
  <si>
    <t>A citation that lands a buyer on a dead-end page wastes the win. One clear action captures it.</t>
  </si>
  <si>
    <t>1. List the pages AI answers send traffic to.
2. Add one clear next step to each.
3. Match the offer to page intent.
4. Remove competing calls to action.
5. Test conversion.</t>
  </si>
  <si>
    <t>Your CMS; Microsoft Clarity; an A/B test where volume allows.</t>
  </si>
  <si>
    <t>Every AI landing page has one clear, intent-matched next step.</t>
  </si>
  <si>
    <t>D3</t>
  </si>
  <si>
    <t>Branded search tracked as a core metric, charted against citations.</t>
  </si>
  <si>
    <t>AI mentions lift branded search. Charting the two together shows the demand your visibility creates.</t>
  </si>
  <si>
    <t>1. Pull branded impressions and clicks from Search Console.
2. Chart the trend over time.
3. Overlay citation rate or major mentions.
4. Look for lifts after coverage.
5. Report it monthly.</t>
  </si>
  <si>
    <t>Google Search Console branded filter; Looker Studio; Google Trends.</t>
  </si>
  <si>
    <t>Branded search is a tracked metric, charted against citations.</t>
  </si>
  <si>
    <t>D4</t>
  </si>
  <si>
    <t>AI-touched leads tagged in your CRM and tied to revenue.</t>
  </si>
  <si>
    <t>The last number that matters is revenue. Tag AI-influenced leads to prove pipeline.</t>
  </si>
  <si>
    <t>1. Capture first source and referrer on lead creation.
2. Tag leads that arrived via AI.
3. Add a how-did-you-hear-about-us field.
4. Follow tagged leads to closed revenue.
5. Report AI-influenced pipeline.</t>
  </si>
  <si>
    <t>HubSpot or Salesforce source fields; GA4-to-CRM handoff; a self-report field.</t>
  </si>
  <si>
    <t>AI-touched leads are tagged and tied to revenue in the CRM.</t>
  </si>
  <si>
    <t>D5</t>
  </si>
  <si>
    <t>Machine-readable pricing and availability, for the agentic shift ahead.</t>
  </si>
  <si>
    <t>Agents act for buyers. Structured pricing and availability make you selectable to a machine.</t>
  </si>
  <si>
    <t>1. Expose pricing and availability in clean HTML.
2. Add Product and Offer schema.
3. Keep terms and specs structured and current.
4. Make key actions reachable without a login wall.
5. Test that a bot can read them.</t>
  </si>
  <si>
    <t>Product and Offer schema; Rich Results Test; clean HTML templates.</t>
  </si>
  <si>
    <t>Pricing and availability are machine-readable and validated.</t>
  </si>
  <si>
    <t>Score your AI-search posture. Fill Status on the Checklist tab; this updates live.</t>
  </si>
  <si>
    <t>Overall</t>
  </si>
  <si>
    <t>Checks done</t>
  </si>
  <si>
    <t>Total checks</t>
  </si>
  <si>
    <t>Complete</t>
  </si>
  <si>
    <t>In progress</t>
  </si>
  <si>
    <t>Maturity band</t>
  </si>
  <si>
    <t>By layer</t>
  </si>
  <si>
    <t>Done</t>
  </si>
  <si>
    <t>Total</t>
  </si>
  <si>
    <t>C  Citation Surface</t>
  </si>
  <si>
    <t>I  Information Architecture</t>
  </si>
  <si>
    <t>T  Technical Foundation</t>
  </si>
  <si>
    <t>E  Evidence-Rich Extraction</t>
  </si>
  <si>
    <t>D  Demand Capture</t>
  </si>
  <si>
    <t>Two rules</t>
  </si>
  <si>
    <t>1. Technical Foundation is a gate. If layer T is under 100%, finish it before pushing other layers.</t>
  </si>
  <si>
    <t>2. Your lowest layer is your next move. The weakest layer caps the whole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</si>
</sst>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8"/>
      <color rgb="FFFFFFFF"/>
      <name val="Arial"/>
      <family val="2"/>
    </font>
    <font>
      <sz val="10"/>
      <color rgb="FF69707A"/>
      <name val="Arial"/>
      <family val="2"/>
    </font>
    <font>
      <sz val="8"/>
      <color rgb="FF23303B"/>
      <name val="Arial"/>
      <family val="2"/>
    </font>
    <font>
      <sz val="10"/>
      <color rgb="FF23303B"/>
      <name val="Arial"/>
      <family val="2"/>
    </font>
    <font>
      <b/>
      <sz val="10"/>
      <color rgb="FFFFFFFF"/>
      <name val="Arial"/>
      <family val="2"/>
    </font>
    <font>
      <b/>
      <sz val="10"/>
      <color rgb="FF246043"/>
      <name val="Arial"/>
      <family val="2"/>
    </font>
    <font>
      <b/>
      <sz val="10"/>
      <color rgb="FF1F2730"/>
      <name val="Arial"/>
      <family val="2"/>
    </font>
    <font>
      <sz val="9.5"/>
      <color rgb="FF69707A"/>
      <name val="Arial"/>
      <family val="2"/>
    </font>
    <font>
      <sz val="9.5"/>
      <color rgb="FF23303B"/>
      <name val="Arial"/>
      <family val="2"/>
    </font>
    <font>
      <sz val="9"/>
      <color rgb="FF69707A"/>
      <name val="Arial"/>
      <family val="2"/>
    </font>
    <font>
      <sz val="9.5"/>
      <color rgb="FFFFFFFF"/>
      <name val="Arial"/>
      <family val="2"/>
    </font>
    <font>
      <b/>
      <sz val="11"/>
      <color rgb="FFFFFFFF"/>
      <name val="Arial"/>
      <family val="2"/>
    </font>
    <font>
      <b/>
      <sz val="10"/>
      <color rgb="FF23303B"/>
      <name val="Arial"/>
      <family val="2"/>
    </font>
    <font>
      <b/>
      <sz val="12"/>
      <color theme="0"/>
      <name val="Arial"/>
      <family val="2"/>
    </font>
  </fonts>
  <fills count="5">
    <fill>
      <patternFill patternType="none"/>
    </fill>
    <fill>
      <patternFill patternType="gray125"/>
    </fill>
    <fill>
      <patternFill patternType="solid">
        <fgColor rgb="FF1F2730"/>
        <bgColor rgb="FF23303B"/>
      </patternFill>
    </fill>
    <fill>
      <patternFill patternType="solid">
        <fgColor rgb="FF2F7A52"/>
        <bgColor rgb="FF246043"/>
      </patternFill>
    </fill>
    <fill>
      <patternFill patternType="solid">
        <fgColor rgb="FF246043"/>
        <bgColor rgb="FF2F7A52"/>
      </patternFill>
    </fill>
  </fills>
  <borders count="3">
    <border>
      <left/>
      <right/>
      <top/>
      <bottom/>
      <diagonal/>
    </border>
    <border>
      <left style="thin">
        <color rgb="FFD8DEE2"/>
      </left>
      <right style="thin">
        <color rgb="FFD8DEE2"/>
      </right>
      <top style="thin">
        <color rgb="FFD8DEE2"/>
      </top>
      <bottom style="thin">
        <color rgb="FFD8DEE2"/>
      </bottom>
      <diagonal/>
    </border>
    <border>
      <left style="thin">
        <color rgb="FFD8DEE2"/>
      </left>
      <right/>
      <top style="thin">
        <color rgb="FFD8DEE2"/>
      </top>
      <bottom style="thin">
        <color rgb="FFD8DEE2"/>
      </bottom>
      <diagonal/>
    </border>
  </borders>
  <cellStyleXfs count="1">
    <xf numFmtId="0" fontId="0" fillId="0" borderId="0"/>
  </cellStyleXfs>
  <cellXfs count="26">
    <xf numFmtId="0" fontId="0" fillId="0" borderId="0" xfId="0"/>
    <xf numFmtId="0" fontId="9" fillId="0" borderId="2" xfId="0" applyFont="1" applyBorder="1" applyAlignment="1">
      <alignment horizontal="left" vertical="top" wrapText="1"/>
    </xf>
    <xf numFmtId="0" fontId="11" fillId="3" borderId="0" xfId="0" applyFont="1" applyFill="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1" xfId="0" applyFont="1" applyBorder="1" applyAlignment="1">
      <alignment horizontal="center" vertical="center" wrapText="1"/>
    </xf>
    <xf numFmtId="0" fontId="10" fillId="0" borderId="1" xfId="0" applyFont="1" applyBorder="1" applyAlignment="1">
      <alignment horizontal="left" vertical="top" wrapText="1"/>
    </xf>
    <xf numFmtId="0" fontId="12"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3" fillId="0" borderId="1" xfId="0" applyFont="1" applyBorder="1" applyAlignment="1">
      <alignment horizontal="left" vertical="top" wrapText="1"/>
    </xf>
    <xf numFmtId="0" fontId="4" fillId="0" borderId="1" xfId="0" applyFont="1" applyBorder="1" applyAlignment="1">
      <alignment horizontal="center" vertical="top" wrapText="1"/>
    </xf>
    <xf numFmtId="9" fontId="4" fillId="0" borderId="1" xfId="0" applyNumberFormat="1" applyFont="1" applyBorder="1" applyAlignment="1">
      <alignment horizontal="center" vertical="top" wrapText="1"/>
    </xf>
    <xf numFmtId="0" fontId="6"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12"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4" fillId="3" borderId="0" xfId="0" applyFont="1" applyFill="1" applyAlignment="1">
      <alignment vertical="center" wrapText="1"/>
    </xf>
  </cellXfs>
  <cellStyles count="1">
    <cellStyle name="Normal" xfId="0" builtinId="0"/>
  </cellStyles>
  <dxfs count="3">
    <dxf>
      <font>
        <color rgb="FF69707A"/>
        <name val="Arial"/>
        <charset val="1"/>
      </font>
      <fill>
        <patternFill>
          <bgColor rgb="FFEEF2F4"/>
        </patternFill>
      </fill>
    </dxf>
    <dxf>
      <font>
        <b/>
        <color rgb="FFA85A1A"/>
        <name val="Arial"/>
        <charset val="1"/>
      </font>
      <fill>
        <patternFill>
          <bgColor rgb="FFF5EBDD"/>
        </patternFill>
      </fill>
    </dxf>
    <dxf>
      <font>
        <b/>
        <color rgb="FF246043"/>
        <name val="Arial"/>
        <charset val="1"/>
      </font>
      <fill>
        <patternFill>
          <bgColor rgb="FFDDEF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46043"/>
      <rgbColor rgb="FFC0C0C0"/>
      <rgbColor rgb="FF808080"/>
      <rgbColor rgb="FF9999FF"/>
      <rgbColor rgb="FF993366"/>
      <rgbColor rgb="FFF5EBDD"/>
      <rgbColor rgb="FFEEF2F4"/>
      <rgbColor rgb="FF660066"/>
      <rgbColor rgb="FFFF8080"/>
      <rgbColor rgb="FF0066CC"/>
      <rgbColor rgb="FFD8DEE2"/>
      <rgbColor rgb="FF000080"/>
      <rgbColor rgb="FFFF00FF"/>
      <rgbColor rgb="FFFFFF00"/>
      <rgbColor rgb="FF00FFFF"/>
      <rgbColor rgb="FF800080"/>
      <rgbColor rgb="FF800000"/>
      <rgbColor rgb="FF008080"/>
      <rgbColor rgb="FF0000FF"/>
      <rgbColor rgb="FF00CCFF"/>
      <rgbColor rgb="FFCCFFFF"/>
      <rgbColor rgb="FFDDEFE4"/>
      <rgbColor rgb="FFFFFF99"/>
      <rgbColor rgb="FF99CCFF"/>
      <rgbColor rgb="FFFF99CC"/>
      <rgbColor rgb="FFCC99FF"/>
      <rgbColor rgb="FFFFCC99"/>
      <rgbColor rgb="FF3366FF"/>
      <rgbColor rgb="FF33CCCC"/>
      <rgbColor rgb="FF99CC00"/>
      <rgbColor rgb="FFFFCC00"/>
      <rgbColor rgb="FFFF9900"/>
      <rgbColor rgb="FFFF6600"/>
      <rgbColor rgb="FF69707A"/>
      <rgbColor rgb="FF969696"/>
      <rgbColor rgb="FF003366"/>
      <rgbColor rgb="FF2F7A52"/>
      <rgbColor rgb="FF003300"/>
      <rgbColor rgb="FF1F2730"/>
      <rgbColor rgb="FFA85A1A"/>
      <rgbColor rgb="FF993366"/>
      <rgbColor rgb="FF333399"/>
      <rgbColor rgb="FF2330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showGridLines="0" zoomScaleNormal="100" workbookViewId="0">
      <selection activeCell="A17" sqref="A17"/>
    </sheetView>
  </sheetViews>
  <sheetFormatPr baseColWidth="10" defaultColWidth="8.6640625" defaultRowHeight="15" x14ac:dyDescent="0.2"/>
  <cols>
    <col min="1" max="1" width="100" customWidth="1"/>
  </cols>
  <sheetData>
    <row r="1" spans="1:1" ht="24" customHeight="1" x14ac:dyDescent="0.2">
      <c r="A1" s="4" t="s">
        <v>0</v>
      </c>
    </row>
    <row r="2" spans="1:1" ht="18" customHeight="1" x14ac:dyDescent="0.2">
      <c r="A2" s="5" t="s">
        <v>1</v>
      </c>
    </row>
    <row r="3" spans="1:1" ht="18" customHeight="1" x14ac:dyDescent="0.2">
      <c r="A3" s="6"/>
    </row>
    <row r="4" spans="1:1" ht="24" customHeight="1" x14ac:dyDescent="0.2">
      <c r="A4" s="25" t="s">
        <v>2</v>
      </c>
    </row>
    <row r="5" spans="1:1" ht="18" customHeight="1" x14ac:dyDescent="0.2">
      <c r="A5" s="7" t="s">
        <v>3</v>
      </c>
    </row>
    <row r="6" spans="1:1" ht="18" customHeight="1" x14ac:dyDescent="0.2">
      <c r="A6" s="7" t="s">
        <v>4</v>
      </c>
    </row>
    <row r="7" spans="1:1" ht="18" customHeight="1" x14ac:dyDescent="0.2">
      <c r="A7" s="7" t="s">
        <v>5</v>
      </c>
    </row>
    <row r="8" spans="1:1" ht="18" customHeight="1" x14ac:dyDescent="0.2">
      <c r="A8" s="7" t="s">
        <v>6</v>
      </c>
    </row>
    <row r="9" spans="1:1" ht="18" customHeight="1" x14ac:dyDescent="0.2">
      <c r="A9" s="6"/>
    </row>
    <row r="10" spans="1:1" ht="24" customHeight="1" x14ac:dyDescent="0.2">
      <c r="A10" s="25" t="s">
        <v>7</v>
      </c>
    </row>
    <row r="11" spans="1:1" ht="18" customHeight="1" x14ac:dyDescent="0.2">
      <c r="A11" s="7" t="s">
        <v>8</v>
      </c>
    </row>
    <row r="12" spans="1:1" ht="18" customHeight="1" x14ac:dyDescent="0.2">
      <c r="A12" s="7" t="s">
        <v>9</v>
      </c>
    </row>
    <row r="13" spans="1:1" ht="18" customHeight="1" x14ac:dyDescent="0.2">
      <c r="A13" s="6"/>
    </row>
    <row r="14" spans="1:1" ht="24" customHeight="1" x14ac:dyDescent="0.2">
      <c r="A14" s="25" t="s">
        <v>10</v>
      </c>
    </row>
    <row r="15" spans="1:1" ht="18" customHeight="1" x14ac:dyDescent="0.2">
      <c r="A15" s="7" t="s">
        <v>11</v>
      </c>
    </row>
    <row r="16" spans="1:1" ht="18" customHeight="1" x14ac:dyDescent="0.2">
      <c r="A16" s="6"/>
    </row>
    <row r="17" spans="1:1" ht="18" customHeight="1" x14ac:dyDescent="0.2">
      <c r="A17" s="5"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zoomScaleNormal="100" workbookViewId="0">
      <pane ySplit="1" topLeftCell="A13" activePane="bottomLeft" state="frozen"/>
      <selection pane="bottomLeft"/>
    </sheetView>
  </sheetViews>
  <sheetFormatPr baseColWidth="10" defaultColWidth="8.6640625" defaultRowHeight="15" x14ac:dyDescent="0.2"/>
  <cols>
    <col min="1" max="1" width="9" customWidth="1"/>
    <col min="2" max="2" width="6" customWidth="1"/>
    <col min="3" max="4" width="40" customWidth="1"/>
    <col min="5" max="5" width="52" customWidth="1"/>
    <col min="6" max="6" width="40" customWidth="1"/>
    <col min="7" max="7" width="14" customWidth="1"/>
    <col min="8" max="8" width="30" customWidth="1"/>
  </cols>
  <sheetData>
    <row r="1" spans="1:8" ht="19.5" customHeight="1" x14ac:dyDescent="0.2">
      <c r="A1" s="8" t="s">
        <v>13</v>
      </c>
      <c r="B1" s="8" t="s">
        <v>14</v>
      </c>
      <c r="C1" s="8" t="s">
        <v>15</v>
      </c>
      <c r="D1" s="8" t="s">
        <v>16</v>
      </c>
      <c r="E1" s="8" t="s">
        <v>17</v>
      </c>
      <c r="F1" s="8" t="s">
        <v>18</v>
      </c>
      <c r="G1" s="8" t="s">
        <v>19</v>
      </c>
      <c r="H1" s="8" t="s">
        <v>20</v>
      </c>
    </row>
    <row r="2" spans="1:8" ht="75.75" customHeight="1" x14ac:dyDescent="0.2">
      <c r="A2" s="9" t="s">
        <v>21</v>
      </c>
      <c r="B2" s="10" t="s">
        <v>22</v>
      </c>
      <c r="C2" s="11" t="s">
        <v>23</v>
      </c>
      <c r="D2" s="12" t="s">
        <v>24</v>
      </c>
      <c r="E2" s="13" t="s">
        <v>25</v>
      </c>
      <c r="F2" s="13" t="s">
        <v>26</v>
      </c>
      <c r="G2" s="14" t="s">
        <v>27</v>
      </c>
      <c r="H2" s="15" t="s">
        <v>28</v>
      </c>
    </row>
    <row r="3" spans="1:8" ht="75.75" customHeight="1" x14ac:dyDescent="0.2">
      <c r="A3" s="9" t="s">
        <v>21</v>
      </c>
      <c r="B3" s="10" t="s">
        <v>29</v>
      </c>
      <c r="C3" s="11" t="s">
        <v>30</v>
      </c>
      <c r="D3" s="12" t="s">
        <v>31</v>
      </c>
      <c r="E3" s="13" t="s">
        <v>32</v>
      </c>
      <c r="F3" s="13" t="s">
        <v>33</v>
      </c>
      <c r="G3" s="14" t="s">
        <v>27</v>
      </c>
      <c r="H3" s="15" t="s">
        <v>34</v>
      </c>
    </row>
    <row r="4" spans="1:8" ht="75.75" customHeight="1" x14ac:dyDescent="0.2">
      <c r="A4" s="9" t="s">
        <v>21</v>
      </c>
      <c r="B4" s="10" t="s">
        <v>35</v>
      </c>
      <c r="C4" s="11" t="s">
        <v>36</v>
      </c>
      <c r="D4" s="12" t="s">
        <v>37</v>
      </c>
      <c r="E4" s="13" t="s">
        <v>38</v>
      </c>
      <c r="F4" s="13" t="s">
        <v>39</v>
      </c>
      <c r="G4" s="14" t="s">
        <v>27</v>
      </c>
      <c r="H4" s="15" t="s">
        <v>40</v>
      </c>
    </row>
    <row r="5" spans="1:8" ht="75.75" customHeight="1" x14ac:dyDescent="0.2">
      <c r="A5" s="9" t="s">
        <v>21</v>
      </c>
      <c r="B5" s="10" t="s">
        <v>41</v>
      </c>
      <c r="C5" s="11" t="s">
        <v>42</v>
      </c>
      <c r="D5" s="12" t="s">
        <v>43</v>
      </c>
      <c r="E5" s="13" t="s">
        <v>44</v>
      </c>
      <c r="F5" s="13" t="s">
        <v>45</v>
      </c>
      <c r="G5" s="14" t="s">
        <v>27</v>
      </c>
      <c r="H5" s="15" t="s">
        <v>46</v>
      </c>
    </row>
    <row r="6" spans="1:8" ht="75.75" customHeight="1" x14ac:dyDescent="0.2">
      <c r="A6" s="9" t="s">
        <v>21</v>
      </c>
      <c r="B6" s="10" t="s">
        <v>47</v>
      </c>
      <c r="C6" s="11" t="s">
        <v>48</v>
      </c>
      <c r="D6" s="12" t="s">
        <v>49</v>
      </c>
      <c r="E6" s="13" t="s">
        <v>50</v>
      </c>
      <c r="F6" s="13" t="s">
        <v>51</v>
      </c>
      <c r="G6" s="14" t="s">
        <v>27</v>
      </c>
      <c r="H6" s="15" t="s">
        <v>52</v>
      </c>
    </row>
    <row r="7" spans="1:8" ht="75.75" customHeight="1" x14ac:dyDescent="0.2">
      <c r="A7" s="9" t="s">
        <v>21</v>
      </c>
      <c r="B7" s="10" t="s">
        <v>53</v>
      </c>
      <c r="C7" s="11" t="s">
        <v>54</v>
      </c>
      <c r="D7" s="12" t="s">
        <v>55</v>
      </c>
      <c r="E7" s="13" t="s">
        <v>56</v>
      </c>
      <c r="F7" s="13" t="s">
        <v>57</v>
      </c>
      <c r="G7" s="14" t="s">
        <v>27</v>
      </c>
      <c r="H7" s="15" t="s">
        <v>58</v>
      </c>
    </row>
    <row r="8" spans="1:8" ht="75.75" customHeight="1" x14ac:dyDescent="0.2">
      <c r="A8" s="9" t="s">
        <v>59</v>
      </c>
      <c r="B8" s="10" t="s">
        <v>60</v>
      </c>
      <c r="C8" s="11" t="s">
        <v>61</v>
      </c>
      <c r="D8" s="12" t="s">
        <v>62</v>
      </c>
      <c r="E8" s="13" t="s">
        <v>63</v>
      </c>
      <c r="F8" s="13" t="s">
        <v>64</v>
      </c>
      <c r="G8" s="14" t="s">
        <v>27</v>
      </c>
      <c r="H8" s="15" t="s">
        <v>65</v>
      </c>
    </row>
    <row r="9" spans="1:8" ht="75.75" customHeight="1" x14ac:dyDescent="0.2">
      <c r="A9" s="9" t="s">
        <v>59</v>
      </c>
      <c r="B9" s="10" t="s">
        <v>66</v>
      </c>
      <c r="C9" s="11" t="s">
        <v>67</v>
      </c>
      <c r="D9" s="12" t="s">
        <v>68</v>
      </c>
      <c r="E9" s="13" t="s">
        <v>69</v>
      </c>
      <c r="F9" s="13" t="s">
        <v>70</v>
      </c>
      <c r="G9" s="14" t="s">
        <v>27</v>
      </c>
      <c r="H9" s="15" t="s">
        <v>71</v>
      </c>
    </row>
    <row r="10" spans="1:8" ht="75.75" customHeight="1" x14ac:dyDescent="0.2">
      <c r="A10" s="9" t="s">
        <v>59</v>
      </c>
      <c r="B10" s="10" t="s">
        <v>72</v>
      </c>
      <c r="C10" s="11" t="s">
        <v>73</v>
      </c>
      <c r="D10" s="12" t="s">
        <v>74</v>
      </c>
      <c r="E10" s="13" t="s">
        <v>75</v>
      </c>
      <c r="F10" s="13" t="s">
        <v>76</v>
      </c>
      <c r="G10" s="14" t="s">
        <v>27</v>
      </c>
      <c r="H10" s="15" t="s">
        <v>77</v>
      </c>
    </row>
    <row r="11" spans="1:8" ht="75.75" customHeight="1" x14ac:dyDescent="0.2">
      <c r="A11" s="9" t="s">
        <v>59</v>
      </c>
      <c r="B11" s="10" t="s">
        <v>78</v>
      </c>
      <c r="C11" s="11" t="s">
        <v>79</v>
      </c>
      <c r="D11" s="12" t="s">
        <v>80</v>
      </c>
      <c r="E11" s="13" t="s">
        <v>81</v>
      </c>
      <c r="F11" s="13" t="s">
        <v>82</v>
      </c>
      <c r="G11" s="14" t="s">
        <v>27</v>
      </c>
      <c r="H11" s="15" t="s">
        <v>83</v>
      </c>
    </row>
    <row r="12" spans="1:8" ht="75.75" customHeight="1" x14ac:dyDescent="0.2">
      <c r="A12" s="9" t="s">
        <v>59</v>
      </c>
      <c r="B12" s="10" t="s">
        <v>84</v>
      </c>
      <c r="C12" s="11" t="s">
        <v>85</v>
      </c>
      <c r="D12" s="12" t="s">
        <v>86</v>
      </c>
      <c r="E12" s="13" t="s">
        <v>87</v>
      </c>
      <c r="F12" s="13" t="s">
        <v>88</v>
      </c>
      <c r="G12" s="14" t="s">
        <v>27</v>
      </c>
      <c r="H12" s="15" t="s">
        <v>89</v>
      </c>
    </row>
    <row r="13" spans="1:8" ht="75.75" customHeight="1" x14ac:dyDescent="0.2">
      <c r="A13" s="9" t="s">
        <v>90</v>
      </c>
      <c r="B13" s="10" t="s">
        <v>91</v>
      </c>
      <c r="C13" s="11" t="s">
        <v>92</v>
      </c>
      <c r="D13" s="12" t="s">
        <v>93</v>
      </c>
      <c r="E13" s="13" t="s">
        <v>94</v>
      </c>
      <c r="F13" s="13" t="s">
        <v>95</v>
      </c>
      <c r="G13" s="14" t="s">
        <v>27</v>
      </c>
      <c r="H13" s="15" t="s">
        <v>96</v>
      </c>
    </row>
    <row r="14" spans="1:8" ht="75.75" customHeight="1" x14ac:dyDescent="0.2">
      <c r="A14" s="9" t="s">
        <v>90</v>
      </c>
      <c r="B14" s="10" t="s">
        <v>97</v>
      </c>
      <c r="C14" s="11" t="s">
        <v>98</v>
      </c>
      <c r="D14" s="12" t="s">
        <v>99</v>
      </c>
      <c r="E14" s="13" t="s">
        <v>100</v>
      </c>
      <c r="F14" s="13" t="s">
        <v>101</v>
      </c>
      <c r="G14" s="14" t="s">
        <v>27</v>
      </c>
      <c r="H14" s="15" t="s">
        <v>102</v>
      </c>
    </row>
    <row r="15" spans="1:8" ht="75.75" customHeight="1" x14ac:dyDescent="0.2">
      <c r="A15" s="9" t="s">
        <v>90</v>
      </c>
      <c r="B15" s="10" t="s">
        <v>103</v>
      </c>
      <c r="C15" s="11" t="s">
        <v>104</v>
      </c>
      <c r="D15" s="12" t="s">
        <v>105</v>
      </c>
      <c r="E15" s="13" t="s">
        <v>106</v>
      </c>
      <c r="F15" s="13" t="s">
        <v>107</v>
      </c>
      <c r="G15" s="14" t="s">
        <v>27</v>
      </c>
      <c r="H15" s="15" t="s">
        <v>108</v>
      </c>
    </row>
    <row r="16" spans="1:8" ht="75.75" customHeight="1" x14ac:dyDescent="0.2">
      <c r="A16" s="9" t="s">
        <v>90</v>
      </c>
      <c r="B16" s="10" t="s">
        <v>109</v>
      </c>
      <c r="C16" s="11" t="s">
        <v>110</v>
      </c>
      <c r="D16" s="12" t="s">
        <v>111</v>
      </c>
      <c r="E16" s="13" t="s">
        <v>112</v>
      </c>
      <c r="F16" s="13" t="s">
        <v>113</v>
      </c>
      <c r="G16" s="14" t="s">
        <v>27</v>
      </c>
      <c r="H16" s="15" t="s">
        <v>114</v>
      </c>
    </row>
    <row r="17" spans="1:8" ht="75.75" customHeight="1" x14ac:dyDescent="0.2">
      <c r="A17" s="9" t="s">
        <v>90</v>
      </c>
      <c r="B17" s="10" t="s">
        <v>115</v>
      </c>
      <c r="C17" s="11" t="s">
        <v>116</v>
      </c>
      <c r="D17" s="12" t="s">
        <v>117</v>
      </c>
      <c r="E17" s="13" t="s">
        <v>118</v>
      </c>
      <c r="F17" s="13" t="s">
        <v>119</v>
      </c>
      <c r="G17" s="14" t="s">
        <v>27</v>
      </c>
      <c r="H17" s="15" t="s">
        <v>120</v>
      </c>
    </row>
    <row r="18" spans="1:8" ht="75.75" customHeight="1" x14ac:dyDescent="0.2">
      <c r="A18" s="9" t="s">
        <v>121</v>
      </c>
      <c r="B18" s="10" t="s">
        <v>122</v>
      </c>
      <c r="C18" s="11" t="s">
        <v>123</v>
      </c>
      <c r="D18" s="12" t="s">
        <v>124</v>
      </c>
      <c r="E18" s="13" t="s">
        <v>125</v>
      </c>
      <c r="F18" s="13" t="s">
        <v>126</v>
      </c>
      <c r="G18" s="14" t="s">
        <v>27</v>
      </c>
      <c r="H18" s="15" t="s">
        <v>127</v>
      </c>
    </row>
    <row r="19" spans="1:8" ht="75.75" customHeight="1" x14ac:dyDescent="0.2">
      <c r="A19" s="9" t="s">
        <v>121</v>
      </c>
      <c r="B19" s="10" t="s">
        <v>128</v>
      </c>
      <c r="C19" s="11" t="s">
        <v>129</v>
      </c>
      <c r="D19" s="12" t="s">
        <v>130</v>
      </c>
      <c r="E19" s="13" t="s">
        <v>131</v>
      </c>
      <c r="F19" s="13" t="s">
        <v>132</v>
      </c>
      <c r="G19" s="14" t="s">
        <v>27</v>
      </c>
      <c r="H19" s="15" t="s">
        <v>133</v>
      </c>
    </row>
    <row r="20" spans="1:8" ht="75.75" customHeight="1" x14ac:dyDescent="0.2">
      <c r="A20" s="9" t="s">
        <v>121</v>
      </c>
      <c r="B20" s="10" t="s">
        <v>134</v>
      </c>
      <c r="C20" s="11" t="s">
        <v>135</v>
      </c>
      <c r="D20" s="12" t="s">
        <v>136</v>
      </c>
      <c r="E20" s="13" t="s">
        <v>137</v>
      </c>
      <c r="F20" s="13" t="s">
        <v>138</v>
      </c>
      <c r="G20" s="14" t="s">
        <v>27</v>
      </c>
      <c r="H20" s="15" t="s">
        <v>139</v>
      </c>
    </row>
    <row r="21" spans="1:8" ht="75.75" customHeight="1" x14ac:dyDescent="0.2">
      <c r="A21" s="9" t="s">
        <v>121</v>
      </c>
      <c r="B21" s="10" t="s">
        <v>140</v>
      </c>
      <c r="C21" s="11" t="s">
        <v>141</v>
      </c>
      <c r="D21" s="12" t="s">
        <v>142</v>
      </c>
      <c r="E21" s="13" t="s">
        <v>143</v>
      </c>
      <c r="F21" s="13" t="s">
        <v>144</v>
      </c>
      <c r="G21" s="14" t="s">
        <v>27</v>
      </c>
      <c r="H21" s="15" t="s">
        <v>145</v>
      </c>
    </row>
    <row r="22" spans="1:8" ht="75.75" customHeight="1" x14ac:dyDescent="0.2">
      <c r="A22" s="9" t="s">
        <v>121</v>
      </c>
      <c r="B22" s="10" t="s">
        <v>146</v>
      </c>
      <c r="C22" s="11" t="s">
        <v>147</v>
      </c>
      <c r="D22" s="12" t="s">
        <v>148</v>
      </c>
      <c r="E22" s="13" t="s">
        <v>149</v>
      </c>
      <c r="F22" s="13" t="s">
        <v>150</v>
      </c>
      <c r="G22" s="14" t="s">
        <v>27</v>
      </c>
      <c r="H22" s="15" t="s">
        <v>151</v>
      </c>
    </row>
    <row r="23" spans="1:8" ht="75.75" customHeight="1" x14ac:dyDescent="0.2">
      <c r="A23" s="9" t="s">
        <v>152</v>
      </c>
      <c r="B23" s="10" t="s">
        <v>153</v>
      </c>
      <c r="C23" s="11" t="s">
        <v>154</v>
      </c>
      <c r="D23" s="12" t="s">
        <v>155</v>
      </c>
      <c r="E23" s="13" t="s">
        <v>156</v>
      </c>
      <c r="F23" s="13" t="s">
        <v>157</v>
      </c>
      <c r="G23" s="14" t="s">
        <v>27</v>
      </c>
      <c r="H23" s="15" t="s">
        <v>158</v>
      </c>
    </row>
    <row r="24" spans="1:8" ht="75.75" customHeight="1" x14ac:dyDescent="0.2">
      <c r="A24" s="9" t="s">
        <v>152</v>
      </c>
      <c r="B24" s="10" t="s">
        <v>159</v>
      </c>
      <c r="C24" s="11" t="s">
        <v>160</v>
      </c>
      <c r="D24" s="12" t="s">
        <v>161</v>
      </c>
      <c r="E24" s="13" t="s">
        <v>162</v>
      </c>
      <c r="F24" s="13" t="s">
        <v>163</v>
      </c>
      <c r="G24" s="14" t="s">
        <v>27</v>
      </c>
      <c r="H24" s="15" t="s">
        <v>164</v>
      </c>
    </row>
    <row r="25" spans="1:8" ht="75.75" customHeight="1" x14ac:dyDescent="0.2">
      <c r="A25" s="9" t="s">
        <v>152</v>
      </c>
      <c r="B25" s="10" t="s">
        <v>165</v>
      </c>
      <c r="C25" s="11" t="s">
        <v>166</v>
      </c>
      <c r="D25" s="12" t="s">
        <v>167</v>
      </c>
      <c r="E25" s="13" t="s">
        <v>168</v>
      </c>
      <c r="F25" s="13" t="s">
        <v>169</v>
      </c>
      <c r="G25" s="14" t="s">
        <v>27</v>
      </c>
      <c r="H25" s="15" t="s">
        <v>170</v>
      </c>
    </row>
    <row r="26" spans="1:8" ht="75.75" customHeight="1" x14ac:dyDescent="0.2">
      <c r="A26" s="9" t="s">
        <v>152</v>
      </c>
      <c r="B26" s="10" t="s">
        <v>171</v>
      </c>
      <c r="C26" s="11" t="s">
        <v>172</v>
      </c>
      <c r="D26" s="12" t="s">
        <v>173</v>
      </c>
      <c r="E26" s="13" t="s">
        <v>174</v>
      </c>
      <c r="F26" s="13" t="s">
        <v>175</v>
      </c>
      <c r="G26" s="14" t="s">
        <v>27</v>
      </c>
      <c r="H26" s="15" t="s">
        <v>176</v>
      </c>
    </row>
    <row r="27" spans="1:8" ht="75.75" customHeight="1" x14ac:dyDescent="0.2">
      <c r="A27" s="9" t="s">
        <v>152</v>
      </c>
      <c r="B27" s="10" t="s">
        <v>177</v>
      </c>
      <c r="C27" s="11" t="s">
        <v>178</v>
      </c>
      <c r="D27" s="12" t="s">
        <v>179</v>
      </c>
      <c r="E27" s="13" t="s">
        <v>180</v>
      </c>
      <c r="F27" s="13" t="s">
        <v>181</v>
      </c>
      <c r="G27" s="14" t="s">
        <v>27</v>
      </c>
      <c r="H27" s="15" t="s">
        <v>182</v>
      </c>
    </row>
  </sheetData>
  <conditionalFormatting sqref="G2:G27">
    <cfRule type="cellIs" dxfId="2" priority="2" operator="equal">
      <formula>"Done"</formula>
    </cfRule>
    <cfRule type="cellIs" dxfId="1" priority="3" operator="equal">
      <formula>"In progress"</formula>
    </cfRule>
    <cfRule type="cellIs" dxfId="0" priority="4" operator="equal">
      <formula>"Not started"</formula>
    </cfRule>
  </conditionalFormatting>
  <dataValidations count="1">
    <dataValidation type="list" allowBlank="1" showErrorMessage="1" error="Pick Not started, In progress, or Done" sqref="G2:G27" xr:uid="{00000000-0002-0000-0100-000000000000}">
      <formula1>"Not started,In progress,Done"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showGridLines="0" tabSelected="1" zoomScaleNormal="100" workbookViewId="0">
      <selection activeCell="H24" sqref="H24"/>
    </sheetView>
  </sheetViews>
  <sheetFormatPr baseColWidth="10" defaultColWidth="8.6640625" defaultRowHeight="15" x14ac:dyDescent="0.2"/>
  <cols>
    <col min="1" max="1" width="22" customWidth="1"/>
    <col min="2" max="2" width="16" customWidth="1"/>
    <col min="3" max="3" width="12" customWidth="1"/>
    <col min="4" max="4" width="14" customWidth="1"/>
    <col min="5" max="5" width="2" customWidth="1"/>
  </cols>
  <sheetData>
    <row r="1" spans="1:4" ht="30" customHeight="1" x14ac:dyDescent="0.2">
      <c r="A1" s="3" t="s">
        <v>0</v>
      </c>
      <c r="B1" s="3"/>
      <c r="C1" s="3"/>
      <c r="D1" s="3"/>
    </row>
    <row r="2" spans="1:4" ht="15" customHeight="1" x14ac:dyDescent="0.2">
      <c r="A2" s="2" t="s">
        <v>183</v>
      </c>
      <c r="B2" s="2"/>
      <c r="C2" s="2"/>
      <c r="D2" s="2"/>
    </row>
    <row r="4" spans="1:4" x14ac:dyDescent="0.2">
      <c r="A4" s="16" t="s">
        <v>184</v>
      </c>
      <c r="B4" s="17"/>
      <c r="C4" s="17"/>
      <c r="D4" s="17"/>
    </row>
    <row r="5" spans="1:4" x14ac:dyDescent="0.2">
      <c r="A5" s="18" t="s">
        <v>185</v>
      </c>
      <c r="B5" s="19">
        <f>COUNTIF(Checklist!$G$2:$G$27,"Done")</f>
        <v>0</v>
      </c>
    </row>
    <row r="6" spans="1:4" x14ac:dyDescent="0.2">
      <c r="A6" s="18" t="s">
        <v>186</v>
      </c>
      <c r="B6" s="19">
        <f>COUNTA(Checklist!$B$2:$B$27)</f>
        <v>26</v>
      </c>
    </row>
    <row r="7" spans="1:4" x14ac:dyDescent="0.2">
      <c r="A7" s="18" t="s">
        <v>187</v>
      </c>
      <c r="B7" s="20">
        <f>IFERROR(B5/B6,0)</f>
        <v>0</v>
      </c>
    </row>
    <row r="8" spans="1:4" x14ac:dyDescent="0.2">
      <c r="A8" s="18" t="s">
        <v>188</v>
      </c>
      <c r="B8" s="19">
        <f>COUNTIF(Checklist!$G$2:$G$27,"In progress")</f>
        <v>0</v>
      </c>
    </row>
    <row r="9" spans="1:4" x14ac:dyDescent="0.2">
      <c r="A9" s="18" t="s">
        <v>189</v>
      </c>
      <c r="B9" s="21" t="str">
        <f>IF(B7&lt;=0.2,"Absent",IF(B7&lt;=0.45,"Reactive",IF(B7&lt;=0.7,"Present",IF(B7&lt;=0.9,"Cited","Compounding"))))</f>
        <v>Absent</v>
      </c>
    </row>
    <row r="11" spans="1:4" x14ac:dyDescent="0.2">
      <c r="A11" s="16" t="s">
        <v>190</v>
      </c>
      <c r="B11" s="22" t="s">
        <v>191</v>
      </c>
      <c r="C11" s="22" t="s">
        <v>192</v>
      </c>
      <c r="D11" s="22" t="s">
        <v>187</v>
      </c>
    </row>
    <row r="12" spans="1:4" x14ac:dyDescent="0.2">
      <c r="A12" s="18" t="s">
        <v>193</v>
      </c>
      <c r="B12" s="19">
        <f>COUNTIFS(Checklist!$A$2:$A$27,"C",Checklist!$G$2:$G$27,"Done")</f>
        <v>0</v>
      </c>
      <c r="C12" s="19">
        <f>COUNTIF(Checklist!$A$2:$A$27,"C")</f>
        <v>6</v>
      </c>
      <c r="D12" s="20">
        <f>IFERROR(B12/C12,0)</f>
        <v>0</v>
      </c>
    </row>
    <row r="13" spans="1:4" ht="18" customHeight="1" x14ac:dyDescent="0.2">
      <c r="A13" s="18" t="s">
        <v>194</v>
      </c>
      <c r="B13" s="19">
        <f>COUNTIFS(Checklist!$A$2:$A$27,"I",Checklist!$G$2:$G$27,"Done")</f>
        <v>0</v>
      </c>
      <c r="C13" s="19">
        <f>COUNTIF(Checklist!$A$2:$A$27,"I")</f>
        <v>5</v>
      </c>
      <c r="D13" s="20">
        <f>IFERROR(B13/C13,0)</f>
        <v>0</v>
      </c>
    </row>
    <row r="14" spans="1:4" x14ac:dyDescent="0.2">
      <c r="A14" s="18" t="s">
        <v>195</v>
      </c>
      <c r="B14" s="19">
        <f>COUNTIFS(Checklist!$A$2:$A$27,"T",Checklist!$G$2:$G$27,"Done")</f>
        <v>0</v>
      </c>
      <c r="C14" s="19">
        <f>COUNTIF(Checklist!$A$2:$A$27,"T")</f>
        <v>5</v>
      </c>
      <c r="D14" s="20">
        <f>IFERROR(B14/C14,0)</f>
        <v>0</v>
      </c>
    </row>
    <row r="15" spans="1:4" ht="28" x14ac:dyDescent="0.2">
      <c r="A15" s="18" t="s">
        <v>196</v>
      </c>
      <c r="B15" s="19">
        <f>COUNTIFS(Checklist!$A$2:$A$27,"E",Checklist!$G$2:$G$27,"Done")</f>
        <v>0</v>
      </c>
      <c r="C15" s="19">
        <f>COUNTIF(Checklist!$A$2:$A$27,"E")</f>
        <v>5</v>
      </c>
      <c r="D15" s="20">
        <f>IFERROR(B15/C15,0)</f>
        <v>0</v>
      </c>
    </row>
    <row r="16" spans="1:4" x14ac:dyDescent="0.2">
      <c r="A16" s="18" t="s">
        <v>197</v>
      </c>
      <c r="B16" s="19">
        <f>COUNTIFS(Checklist!$A$2:$A$27,"D",Checklist!$G$2:$G$27,"Done")</f>
        <v>0</v>
      </c>
      <c r="C16" s="19">
        <f>COUNTIF(Checklist!$A$2:$A$27,"D")</f>
        <v>5</v>
      </c>
      <c r="D16" s="20">
        <f>IFERROR(B16/C16,0)</f>
        <v>0</v>
      </c>
    </row>
    <row r="18" spans="1:4" x14ac:dyDescent="0.2">
      <c r="A18" s="23" t="s">
        <v>198</v>
      </c>
      <c r="B18" s="24"/>
      <c r="C18" s="24"/>
      <c r="D18" s="24"/>
    </row>
    <row r="19" spans="1:4" ht="25.5" customHeight="1" x14ac:dyDescent="0.2">
      <c r="A19" s="1" t="s">
        <v>199</v>
      </c>
      <c r="B19" s="1"/>
      <c r="C19" s="1"/>
      <c r="D19" s="1"/>
    </row>
    <row r="20" spans="1:4" ht="25.5" customHeight="1" x14ac:dyDescent="0.2">
      <c r="A20" s="1" t="s">
        <v>200</v>
      </c>
      <c r="B20" s="1"/>
      <c r="C20" s="1"/>
      <c r="D20" s="1"/>
    </row>
  </sheetData>
  <mergeCells count="4">
    <mergeCell ref="A1:D1"/>
    <mergeCell ref="A2:D2"/>
    <mergeCell ref="A19:D19"/>
    <mergeCell ref="A20:D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Checklist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Avik Bal</cp:lastModifiedBy>
  <cp:revision>0</cp:revision>
  <dcterms:created xsi:type="dcterms:W3CDTF">2026-07-01T16:01:48Z</dcterms:created>
  <dcterms:modified xsi:type="dcterms:W3CDTF">2026-07-01T16:34:08Z</dcterms:modified>
  <dc:language>en-US</dc:language>
</cp:coreProperties>
</file>